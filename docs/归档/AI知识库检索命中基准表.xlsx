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命中基准" sheetId="1" state="visible" r:id="rId1"/>
    <sheet name="验收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3"/>
    </font>
    <font>
      <name val="微软雅黑"/>
      <sz val="11"/>
    </font>
    <font>
      <name val="微软雅黑"/>
      <b val="1"/>
      <sz val="11"/>
    </font>
    <font>
      <name val="微软雅黑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E7EEF7"/>
      </patternFill>
    </fill>
    <fill>
      <patternFill patternType="solid">
        <fgColor rgb="00FDEADA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37" customWidth="1" min="4" max="4"/>
    <col width="33" customWidth="1" min="5" max="5"/>
    <col width="29" customWidth="1" min="6" max="6"/>
    <col width="37" customWidth="1" min="7" max="7"/>
    <col width="35" customWidth="1" min="8" max="8"/>
  </cols>
  <sheetData>
    <row r="1" ht="26" customHeight="1">
      <c r="A1" s="1" t="inlineStr">
        <is>
          <t>AI 知识库（SupportDocs）检索命中基准表 —— 现有六篇 + 61 补全七项</t>
        </is>
      </c>
    </row>
    <row r="2">
      <c r="A2" s="2" t="inlineStr">
        <is>
          <t>序号</t>
        </is>
      </c>
      <c r="B2" s="2" t="inlineStr">
        <is>
          <t>知识域</t>
        </is>
      </c>
      <c r="C2" s="2" t="inlineStr">
        <is>
          <t>问法（用户怎么说）</t>
        </is>
      </c>
      <c r="D2" s="2" t="inlineStr">
        <is>
          <t>预期命中（文档/章节）</t>
        </is>
      </c>
      <c r="E2" s="2" t="inlineStr">
        <is>
          <t>覆盖状态</t>
        </is>
      </c>
      <c r="F2" s="2" t="inlineStr">
        <is>
          <t>验收状态</t>
        </is>
      </c>
      <c r="G2" s="2" t="inlineStr">
        <is>
          <t>依据/来源</t>
        </is>
      </c>
      <c r="H2" s="2" t="inlineStr">
        <is>
          <t>备注</t>
        </is>
      </c>
    </row>
    <row r="3">
      <c r="A3" s="3" t="n">
        <v>1</v>
      </c>
      <c r="B3" s="4" t="inlineStr">
        <is>
          <t>01-操作入门</t>
        </is>
      </c>
      <c r="C3" s="4" t="inlineStr">
        <is>
          <t>怎么登录系统？都有哪些角色？</t>
        </is>
      </c>
      <c r="D3" s="4" t="inlineStr">
        <is>
          <t>01-操作入门.md #登录/角色</t>
        </is>
      </c>
      <c r="E3" s="3" t="inlineStr">
        <is>
          <t>现有</t>
        </is>
      </c>
      <c r="F3" s="3" t="inlineStr">
        <is>
          <t>已命中</t>
        </is>
      </c>
      <c r="G3" s="4" t="inlineStr">
        <is>
          <t>SupportDocs/README 测试问法 #4</t>
        </is>
      </c>
      <c r="H3" s="4" t="n"/>
    </row>
    <row r="4">
      <c r="A4" s="3" t="n">
        <v>2</v>
      </c>
      <c r="B4" s="4" t="inlineStr">
        <is>
          <t>01-操作入门</t>
        </is>
      </c>
      <c r="C4" s="4" t="inlineStr">
        <is>
          <t>第一次使用先配置什么？顺序是什么？</t>
        </is>
      </c>
      <c r="D4" s="4" t="inlineStr">
        <is>
          <t>01-操作入门.md #第一次配置</t>
        </is>
      </c>
      <c r="E4" s="3" t="inlineStr">
        <is>
          <t>现有</t>
        </is>
      </c>
      <c r="F4" s="3" t="inlineStr">
        <is>
          <t>已命中</t>
        </is>
      </c>
      <c r="G4" s="4" t="inlineStr">
        <is>
          <t>01-操作入门.md</t>
        </is>
      </c>
      <c r="H4" s="4" t="n"/>
    </row>
    <row r="5">
      <c r="A5" s="3" t="n">
        <v>3</v>
      </c>
      <c r="B5" s="4" t="inlineStr">
        <is>
          <t>01-操作入门</t>
        </is>
      </c>
      <c r="C5" s="4" t="inlineStr">
        <is>
          <t>怎么给工人建账号？怎么改密码？</t>
        </is>
      </c>
      <c r="D5" s="4" t="inlineStr">
        <is>
          <t>01-操作入门.md #建账号/改密码</t>
        </is>
      </c>
      <c r="E5" s="3" t="inlineStr">
        <is>
          <t>现有</t>
        </is>
      </c>
      <c r="F5" s="3" t="inlineStr">
        <is>
          <t>已命中</t>
        </is>
      </c>
      <c r="G5" s="4" t="inlineStr">
        <is>
          <t>SupportDocs/README 测试问法 #4</t>
        </is>
      </c>
      <c r="H5" s="4" t="n"/>
    </row>
    <row r="6">
      <c r="A6" s="3" t="n">
        <v>4</v>
      </c>
      <c r="B6" s="4" t="inlineStr">
        <is>
          <t>01-操作入门</t>
        </is>
      </c>
      <c r="C6" s="4" t="inlineStr">
        <is>
          <t>怎么建部门、把人加进部门？</t>
        </is>
      </c>
      <c r="D6" s="4" t="inlineStr">
        <is>
          <t>01-操作入门.md #建部门</t>
        </is>
      </c>
      <c r="E6" s="3" t="inlineStr">
        <is>
          <t>现有</t>
        </is>
      </c>
      <c r="F6" s="3" t="inlineStr">
        <is>
          <t>已命中</t>
        </is>
      </c>
      <c r="G6" s="4" t="inlineStr">
        <is>
          <t>01-操作入门.md</t>
        </is>
      </c>
      <c r="H6" s="4" t="n"/>
    </row>
    <row r="7">
      <c r="A7" s="3" t="n">
        <v>5</v>
      </c>
      <c r="B7" s="4" t="inlineStr">
        <is>
          <t>02-基础资料</t>
        </is>
      </c>
      <c r="C7" s="4" t="inlineStr">
        <is>
          <t>怎么配单位/不良品项/工序？</t>
        </is>
      </c>
      <c r="D7" s="4" t="inlineStr">
        <is>
          <t>02-基础资料.md #单位/不良品项/工序</t>
        </is>
      </c>
      <c r="E7" s="3" t="inlineStr">
        <is>
          <t>现有</t>
        </is>
      </c>
      <c r="F7" s="3" t="inlineStr">
        <is>
          <t>已命中</t>
        </is>
      </c>
      <c r="G7" s="4" t="inlineStr">
        <is>
          <t>02-基础资料.md</t>
        </is>
      </c>
      <c r="H7" s="4" t="n"/>
    </row>
    <row r="8">
      <c r="A8" s="3" t="n">
        <v>6</v>
      </c>
      <c r="B8" s="4" t="inlineStr">
        <is>
          <t>02-基础资料</t>
        </is>
      </c>
      <c r="C8" s="4" t="inlineStr">
        <is>
          <t>工序报工权限怎么配？</t>
        </is>
      </c>
      <c r="D8" s="4" t="inlineStr">
        <is>
          <t>02-基础资料.md #工序（报工权限）</t>
        </is>
      </c>
      <c r="E8" s="3" t="inlineStr">
        <is>
          <t>现有</t>
        </is>
      </c>
      <c r="F8" s="3" t="inlineStr">
        <is>
          <t>已命中</t>
        </is>
      </c>
      <c r="G8" s="4" t="inlineStr">
        <is>
          <t>SupportDocs/README 测试问法 #5</t>
        </is>
      </c>
      <c r="H8" s="4" t="inlineStr">
        <is>
          <t>三条硬规则之一</t>
        </is>
      </c>
    </row>
    <row r="9">
      <c r="A9" s="3" t="n">
        <v>7</v>
      </c>
      <c r="B9" s="4" t="inlineStr">
        <is>
          <t>02-基础资料</t>
        </is>
      </c>
      <c r="C9" s="4" t="inlineStr">
        <is>
          <t>怎么配工艺路线和产品？</t>
        </is>
      </c>
      <c r="D9" s="4" t="inlineStr">
        <is>
          <t>02-基础资料.md #工艺路线/产品</t>
        </is>
      </c>
      <c r="E9" s="3" t="inlineStr">
        <is>
          <t>现有</t>
        </is>
      </c>
      <c r="F9" s="3" t="inlineStr">
        <is>
          <t>已命中</t>
        </is>
      </c>
      <c r="G9" s="4" t="inlineStr">
        <is>
          <t>02-基础资料.md</t>
        </is>
      </c>
      <c r="H9" s="4" t="n"/>
    </row>
    <row r="10">
      <c r="A10" s="3" t="n">
        <v>8</v>
      </c>
      <c r="B10" s="4" t="inlineStr">
        <is>
          <t>02-基础资料</t>
        </is>
      </c>
      <c r="C10" s="4" t="inlineStr">
        <is>
          <t>产品编号可以重复吗？</t>
        </is>
      </c>
      <c r="D10" s="4" t="inlineStr">
        <is>
          <t>02-基础资料.md #产品编号唯一</t>
        </is>
      </c>
      <c r="E10" s="3" t="inlineStr">
        <is>
          <t>现有</t>
        </is>
      </c>
      <c r="F10" s="3" t="inlineStr">
        <is>
          <t>已命中</t>
        </is>
      </c>
      <c r="G10" s="4" t="inlineStr">
        <is>
          <t>02-基础资料.md</t>
        </is>
      </c>
      <c r="H10" s="4" t="inlineStr">
        <is>
          <t>三条硬规则之一</t>
        </is>
      </c>
    </row>
    <row r="11">
      <c r="A11" s="3" t="n">
        <v>9</v>
      </c>
      <c r="B11" s="4" t="inlineStr">
        <is>
          <t>03-工单</t>
        </is>
      </c>
      <c r="C11" s="4" t="inlineStr">
        <is>
          <t>怎么下工单？</t>
        </is>
      </c>
      <c r="D11" s="4" t="inlineStr">
        <is>
          <t>03-工单.md #创建工单</t>
        </is>
      </c>
      <c r="E11" s="3" t="inlineStr">
        <is>
          <t>现有</t>
        </is>
      </c>
      <c r="F11" s="3" t="inlineStr">
        <is>
          <t>已命中</t>
        </is>
      </c>
      <c r="G11" s="4" t="inlineStr">
        <is>
          <t>SupportDocs/README 测试问法 #3</t>
        </is>
      </c>
      <c r="H11" s="4" t="n"/>
    </row>
    <row r="12">
      <c r="A12" s="3" t="n">
        <v>10</v>
      </c>
      <c r="B12" s="4" t="inlineStr">
        <is>
          <t>03-工单</t>
        </is>
      </c>
      <c r="C12" s="4" t="inlineStr">
        <is>
          <t>怎么打印二维码流转卡？</t>
        </is>
      </c>
      <c r="D12" s="4" t="inlineStr">
        <is>
          <t>03-工单.md #打印</t>
        </is>
      </c>
      <c r="E12" s="3" t="inlineStr">
        <is>
          <t>现有</t>
        </is>
      </c>
      <c r="F12" s="3" t="inlineStr">
        <is>
          <t>已命中</t>
        </is>
      </c>
      <c r="G12" s="4" t="inlineStr">
        <is>
          <t>SupportDocs/README 测试问法 #12</t>
        </is>
      </c>
      <c r="H12" s="4" t="n"/>
    </row>
    <row r="13">
      <c r="A13" s="3" t="n">
        <v>11</v>
      </c>
      <c r="B13" s="4" t="inlineStr">
        <is>
          <t>03-工单</t>
        </is>
      </c>
      <c r="C13" s="4" t="inlineStr">
        <is>
          <t>工单有哪些状态？怎么结束/撤回/取消？</t>
        </is>
      </c>
      <c r="D13" s="4" t="inlineStr">
        <is>
          <t>03-工单.md #状态流转</t>
        </is>
      </c>
      <c r="E13" s="3" t="inlineStr">
        <is>
          <t>现有</t>
        </is>
      </c>
      <c r="F13" s="3" t="inlineStr">
        <is>
          <t>已命中</t>
        </is>
      </c>
      <c r="G13" s="4" t="inlineStr">
        <is>
          <t>SupportDocs/README 测试问法 #11</t>
        </is>
      </c>
      <c r="H13" s="4" t="n"/>
    </row>
    <row r="14">
      <c r="A14" s="3" t="n">
        <v>12</v>
      </c>
      <c r="B14" s="4" t="inlineStr">
        <is>
          <t>03-工单</t>
        </is>
      </c>
      <c r="C14" s="4" t="inlineStr">
        <is>
          <t>怎么查进度、报表、看板？</t>
        </is>
      </c>
      <c r="D14" s="4" t="inlineStr">
        <is>
          <t>03-工单.md #查进度/报表/看板</t>
        </is>
      </c>
      <c r="E14" s="3" t="inlineStr">
        <is>
          <t>现有</t>
        </is>
      </c>
      <c r="F14" s="3" t="inlineStr">
        <is>
          <t>已命中</t>
        </is>
      </c>
      <c r="G14" s="4" t="inlineStr">
        <is>
          <t>03-工单.md</t>
        </is>
      </c>
      <c r="H14" s="4" t="n"/>
    </row>
    <row r="15">
      <c r="A15" s="3" t="n">
        <v>13</v>
      </c>
      <c r="B15" s="4" t="inlineStr">
        <is>
          <t>04-报工与复核</t>
        </is>
      </c>
      <c r="C15" s="4" t="inlineStr">
        <is>
          <t>怎么电脑报工？</t>
        </is>
      </c>
      <c r="D15" s="4" t="inlineStr">
        <is>
          <t>04-报工与复核.md #电脑报工</t>
        </is>
      </c>
      <c r="E15" s="3" t="inlineStr">
        <is>
          <t>现有</t>
        </is>
      </c>
      <c r="F15" s="3" t="inlineStr">
        <is>
          <t>已命中</t>
        </is>
      </c>
      <c r="G15" s="4" t="inlineStr">
        <is>
          <t>04-报工与复核.md</t>
        </is>
      </c>
      <c r="H15" s="4" t="n"/>
    </row>
    <row r="16">
      <c r="A16" s="3" t="n">
        <v>14</v>
      </c>
      <c r="B16" s="4" t="inlineStr">
        <is>
          <t>04-报工与复核</t>
        </is>
      </c>
      <c r="C16" s="4" t="inlineStr">
        <is>
          <t>怎么补报？一键补报未完工序怎么用？</t>
        </is>
      </c>
      <c r="D16" s="4" t="inlineStr">
        <is>
          <t>04-报工与复核.md #补报</t>
        </is>
      </c>
      <c r="E16" s="3" t="inlineStr">
        <is>
          <t>现有</t>
        </is>
      </c>
      <c r="F16" s="3" t="inlineStr">
        <is>
          <t>已命中</t>
        </is>
      </c>
      <c r="G16" s="4" t="inlineStr">
        <is>
          <t>SupportDocs/README 测试问法 #1</t>
        </is>
      </c>
      <c r="H16" s="4" t="n"/>
    </row>
    <row r="17">
      <c r="A17" s="3" t="n">
        <v>15</v>
      </c>
      <c r="B17" s="4" t="inlineStr">
        <is>
          <t>04-报工与复核</t>
        </is>
      </c>
      <c r="C17" s="4" t="inlineStr">
        <is>
          <t>报工复核在哪操作？怎么退回？</t>
        </is>
      </c>
      <c r="D17" s="4" t="inlineStr">
        <is>
          <t>04-报工与复核.md #复核</t>
        </is>
      </c>
      <c r="E17" s="3" t="inlineStr">
        <is>
          <t>现有</t>
        </is>
      </c>
      <c r="F17" s="3" t="inlineStr">
        <is>
          <t>已命中</t>
        </is>
      </c>
      <c r="G17" s="4" t="inlineStr">
        <is>
          <t>SupportDocs/README 测试问法 #7</t>
        </is>
      </c>
      <c r="H17" s="4" t="n"/>
    </row>
    <row r="18">
      <c r="A18" s="3" t="n">
        <v>16</v>
      </c>
      <c r="B18" s="4" t="inlineStr">
        <is>
          <t>04-报工与复核</t>
        </is>
      </c>
      <c r="C18" s="4" t="inlineStr">
        <is>
          <t>报错了怎么改数？</t>
        </is>
      </c>
      <c r="D18" s="4" t="inlineStr">
        <is>
          <t>04-报工与复核.md #改报工数</t>
        </is>
      </c>
      <c r="E18" s="3" t="inlineStr">
        <is>
          <t>现有</t>
        </is>
      </c>
      <c r="F18" s="3" t="inlineStr">
        <is>
          <t>已命中</t>
        </is>
      </c>
      <c r="G18" s="4" t="inlineStr">
        <is>
          <t>SupportDocs/README 测试问法 #8</t>
        </is>
      </c>
      <c r="H18" s="4" t="inlineStr">
        <is>
          <t>；Top2 命中预期 04#报错数量怎么改，Top1 为 05#报错了不确定是否提交成功（同主题，两条同入检索证据，回答正确）</t>
        </is>
      </c>
    </row>
    <row r="19">
      <c r="A19" s="3" t="n">
        <v>17</v>
      </c>
      <c r="B19" s="4" t="inlineStr">
        <is>
          <t>04-报工与复核</t>
        </is>
      </c>
      <c r="C19" s="4" t="inlineStr">
        <is>
          <t>手机怎么扫码报工？PDA 怎么用？</t>
        </is>
      </c>
      <c r="D19" s="4" t="inlineStr">
        <is>
          <t>04-报工与复核.md #扫码/#PDA</t>
        </is>
      </c>
      <c r="E19" s="3" t="inlineStr">
        <is>
          <t>现有</t>
        </is>
      </c>
      <c r="F19" s="3" t="inlineStr">
        <is>
          <t>已命中</t>
        </is>
      </c>
      <c r="G19" s="4" t="inlineStr">
        <is>
          <t>04-报工与复核.md</t>
        </is>
      </c>
      <c r="H19" s="4" t="n"/>
    </row>
    <row r="20">
      <c r="A20" s="3" t="n">
        <v>18</v>
      </c>
      <c r="B20" s="4" t="inlineStr">
        <is>
          <t>05-常见问题</t>
        </is>
      </c>
      <c r="C20" s="4" t="inlineStr">
        <is>
          <t>为什么产品删不掉？</t>
        </is>
      </c>
      <c r="D20" s="4" t="inlineStr">
        <is>
          <t>05-常见问题.md #删除顺序</t>
        </is>
      </c>
      <c r="E20" s="3" t="inlineStr">
        <is>
          <t>现有</t>
        </is>
      </c>
      <c r="F20" s="3" t="inlineStr">
        <is>
          <t>已命中</t>
        </is>
      </c>
      <c r="G20" s="4" t="inlineStr">
        <is>
          <t>SupportDocs/README 测试问法 #2</t>
        </is>
      </c>
      <c r="H20" s="4" t="inlineStr">
        <is>
          <t>三条硬规则之一</t>
        </is>
      </c>
    </row>
    <row r="21">
      <c r="A21" s="3" t="n">
        <v>19</v>
      </c>
      <c r="B21" s="4" t="inlineStr">
        <is>
          <t>05-常见问题</t>
        </is>
      </c>
      <c r="C21" s="4" t="inlineStr">
        <is>
          <t>无报工权限是什么意思？</t>
        </is>
      </c>
      <c r="D21" s="4" t="inlineStr">
        <is>
          <t>05-常见问题.md #无报工权限</t>
        </is>
      </c>
      <c r="E21" s="3" t="inlineStr">
        <is>
          <t>现有</t>
        </is>
      </c>
      <c r="F21" s="3" t="inlineStr">
        <is>
          <t>已命中</t>
        </is>
      </c>
      <c r="G21" s="4" t="inlineStr">
        <is>
          <t>SupportDocs/README 测试问法 #6</t>
        </is>
      </c>
      <c r="H21" s="4" t="n"/>
    </row>
    <row r="22">
      <c r="A22" s="3" t="n">
        <v>20</v>
      </c>
      <c r="B22" s="4" t="inlineStr">
        <is>
          <t>05-常见问题</t>
        </is>
      </c>
      <c r="C22" s="4" t="inlineStr">
        <is>
          <t>网页打不开/登录失败怎么办？</t>
        </is>
      </c>
      <c r="D22" s="4" t="inlineStr">
        <is>
          <t>05-常见问题.md #网页打不开</t>
        </is>
      </c>
      <c r="E22" s="3" t="inlineStr">
        <is>
          <t>现有</t>
        </is>
      </c>
      <c r="F22" s="3" t="inlineStr">
        <is>
          <t>已命中</t>
        </is>
      </c>
      <c r="G22" s="4" t="inlineStr">
        <is>
          <t>05-常见问题.md</t>
        </is>
      </c>
      <c r="H22" s="4" t="n"/>
    </row>
    <row r="23">
      <c r="A23" s="3" t="n">
        <v>21</v>
      </c>
      <c r="B23" s="4" t="inlineStr">
        <is>
          <t>05-常见问题</t>
        </is>
      </c>
      <c r="C23" s="4" t="inlineStr">
        <is>
          <t>补报和改数有什么区别？</t>
        </is>
      </c>
      <c r="D23" s="4" t="inlineStr">
        <is>
          <t>05-常见问题.md #补报vs改数</t>
        </is>
      </c>
      <c r="E23" s="3" t="inlineStr">
        <is>
          <t>现有</t>
        </is>
      </c>
      <c r="F23" s="3" t="inlineStr">
        <is>
          <t>已命中</t>
        </is>
      </c>
      <c r="G23" s="4" t="inlineStr">
        <is>
          <t>05-常见问题.md</t>
        </is>
      </c>
      <c r="H23" s="4" t="n"/>
    </row>
    <row r="24">
      <c r="A24" s="3" t="n">
        <v>22</v>
      </c>
      <c r="B24" s="4" t="inlineStr">
        <is>
          <t>05-常见问题</t>
        </is>
      </c>
      <c r="C24" s="4" t="inlineStr">
        <is>
          <t>AI 不能用/页面报服务器错误？</t>
        </is>
      </c>
      <c r="D24" s="4" t="inlineStr">
        <is>
          <t>05-常见问题.md #AI不能用</t>
        </is>
      </c>
      <c r="E24" s="3" t="inlineStr">
        <is>
          <t>现有</t>
        </is>
      </c>
      <c r="F24" s="3" t="inlineStr">
        <is>
          <t>已命中</t>
        </is>
      </c>
      <c r="G24" s="4" t="inlineStr">
        <is>
          <t>05-常见问题.md</t>
        </is>
      </c>
      <c r="H24" s="4" t="n"/>
    </row>
    <row r="25">
      <c r="A25" s="3" t="n">
        <v>23</v>
      </c>
      <c r="B25" s="4" t="inlineStr">
        <is>
          <t>06-数据口径</t>
        </is>
      </c>
      <c r="C25" s="4" t="inlineStr">
        <is>
          <t>报工后为什么生产报表没增加？</t>
        </is>
      </c>
      <c r="D25" s="4" t="inlineStr">
        <is>
          <t>06-数据口径.md #双轨口径</t>
        </is>
      </c>
      <c r="E25" s="3" t="inlineStr">
        <is>
          <t>现有</t>
        </is>
      </c>
      <c r="F25" s="3" t="inlineStr">
        <is>
          <t>已命中</t>
        </is>
      </c>
      <c r="G25" s="4" t="inlineStr">
        <is>
          <t>SupportDocs/README 测试问法 #10</t>
        </is>
      </c>
      <c r="H25" s="4" t="inlineStr">
        <is>
          <t>；05 与 06 同名章节并列 Top 结果，预期 06 章节命中</t>
        </is>
      </c>
    </row>
    <row r="26">
      <c r="A26" s="3" t="n">
        <v>24</v>
      </c>
      <c r="B26" s="4" t="inlineStr">
        <is>
          <t>06-数据口径</t>
        </is>
      </c>
      <c r="C26" s="4" t="inlineStr">
        <is>
          <t>完成数为什么是 80 不是 180？</t>
        </is>
      </c>
      <c r="D26" s="4" t="inlineStr">
        <is>
          <t>06-数据口径.md #完成数</t>
        </is>
      </c>
      <c r="E26" s="3" t="inlineStr">
        <is>
          <t>现有</t>
        </is>
      </c>
      <c r="F26" s="3" t="inlineStr">
        <is>
          <t>已命中</t>
        </is>
      </c>
      <c r="G26" s="4" t="inlineStr">
        <is>
          <t>SupportDocs/README 测试问法 #9</t>
        </is>
      </c>
      <c r="H26" s="4" t="inlineStr">
        <is>
          <t>；05 与 06 同名章节并列 Top 结果，预期 06 章节命中</t>
        </is>
      </c>
    </row>
    <row r="27">
      <c r="A27" s="3" t="n">
        <v>25</v>
      </c>
      <c r="B27" s="4" t="inlineStr">
        <is>
          <t>06-数据口径</t>
        </is>
      </c>
      <c r="C27" s="4" t="inlineStr">
        <is>
          <t>工单找不到/结束后又变执行中？</t>
        </is>
      </c>
      <c r="D27" s="4" t="inlineStr">
        <is>
          <t>06-数据口径.md #工单状态</t>
        </is>
      </c>
      <c r="E27" s="3" t="inlineStr">
        <is>
          <t>现有</t>
        </is>
      </c>
      <c r="F27" s="3" t="inlineStr">
        <is>
          <t>已命中</t>
        </is>
      </c>
      <c r="G27" s="4" t="inlineStr">
        <is>
          <t>06-数据口径.md</t>
        </is>
      </c>
      <c r="H27" s="4" t="inlineStr">
        <is>
          <t>；05 与 06 同名章节并列 Top 结果，预期 06 章节命中</t>
        </is>
      </c>
    </row>
    <row r="28">
      <c r="A28" s="3" t="n">
        <v>26</v>
      </c>
      <c r="B28" s="4" t="inlineStr">
        <is>
          <t>06-数据口径</t>
        </is>
      </c>
      <c r="C28" s="4" t="inlineStr">
        <is>
          <t>超出计划数/剩余可报为零？</t>
        </is>
      </c>
      <c r="D28" s="4" t="inlineStr">
        <is>
          <t>06-数据口径.md #超计划数</t>
        </is>
      </c>
      <c r="E28" s="3" t="inlineStr">
        <is>
          <t>现有</t>
        </is>
      </c>
      <c r="F28" s="3" t="inlineStr">
        <is>
          <t>已命中</t>
        </is>
      </c>
      <c r="G28" s="4" t="inlineStr">
        <is>
          <t>06-数据口径.md</t>
        </is>
      </c>
      <c r="H28" s="4" t="inlineStr">
        <is>
          <t>；05 与 06 同名章节并列 Top 结果，预期 06 章节命中</t>
        </is>
      </c>
    </row>
    <row r="29">
      <c r="A29" s="5" t="n">
        <v>27</v>
      </c>
      <c r="B29" s="6" t="inlineStr">
        <is>
          <t>工资与工价</t>
        </is>
      </c>
      <c r="C29" s="6" t="inlineStr">
        <is>
          <t>工资怎么算？工价表在哪配？</t>
        </is>
      </c>
      <c r="D29" s="6" t="inlineStr">
        <is>
          <t>工资与工价（docs/30 生成篇）</t>
        </is>
      </c>
      <c r="E29" s="5" t="inlineStr">
        <is>
          <t>新增</t>
        </is>
      </c>
      <c r="F29" s="5" t="inlineStr">
        <is>
          <t>已命中</t>
        </is>
      </c>
      <c r="G29" s="6" t="inlineStr">
        <is>
          <t>docs/21；61 §2.1</t>
        </is>
      </c>
      <c r="H29" s="6" t="inlineStr">
        <is>
          <t>；2026-09-24 实测已命中（按检索服务口径复测，预期章节进入 Top 结果）</t>
        </is>
      </c>
    </row>
    <row r="30">
      <c r="A30" s="5" t="n">
        <v>28</v>
      </c>
      <c r="B30" s="6" t="inlineStr">
        <is>
          <t>工资与工价</t>
        </is>
      </c>
      <c r="C30" s="6" t="inlineStr">
        <is>
          <t>生成的工资单为什么确认不了？</t>
        </is>
      </c>
      <c r="D30" s="6" t="inlineStr">
        <is>
          <t>工资与工价 #未匹配标红阻断</t>
        </is>
      </c>
      <c r="E30" s="5" t="inlineStr">
        <is>
          <t>新增</t>
        </is>
      </c>
      <c r="F30" s="5" t="inlineStr">
        <is>
          <t>已命中</t>
        </is>
      </c>
      <c r="G30" s="6" t="inlineStr">
        <is>
          <t>docs/21；61 §2.1</t>
        </is>
      </c>
      <c r="H30" s="6" t="inlineStr">
        <is>
          <t>；2026-09-24 实测已命中（按检索服务口径复测，预期章节进入 Top 结果）</t>
        </is>
      </c>
    </row>
    <row r="31">
      <c r="A31" s="5" t="n">
        <v>29</v>
      </c>
      <c r="B31" s="6" t="inlineStr">
        <is>
          <t>工资与工价</t>
        </is>
      </c>
      <c r="C31" s="6" t="inlineStr">
        <is>
          <t>工资单怎么生成/确认/导出？</t>
        </is>
      </c>
      <c r="D31" s="6" t="inlineStr">
        <is>
          <t>工资与工价 #工资报表</t>
        </is>
      </c>
      <c r="E31" s="5" t="inlineStr">
        <is>
          <t>新增</t>
        </is>
      </c>
      <c r="F31" s="5" t="inlineStr">
        <is>
          <t>已命中</t>
        </is>
      </c>
      <c r="G31" s="6" t="inlineStr">
        <is>
          <t>docs/21；61 §2.1</t>
        </is>
      </c>
      <c r="H31" s="6" t="inlineStr">
        <is>
          <t>；2026-09-24 实测已命中（按检索服务口径复测，预期章节进入 Top 结果）</t>
        </is>
      </c>
    </row>
    <row r="32">
      <c r="A32" s="5" t="n">
        <v>30</v>
      </c>
      <c r="B32" s="6" t="inlineStr">
        <is>
          <t>派工到人</t>
        </is>
      </c>
      <c r="C32" s="6" t="inlineStr">
        <is>
          <t>怎么把工序派给工人？</t>
        </is>
      </c>
      <c r="D32" s="6" t="inlineStr">
        <is>
          <t>派工到人 #工单详情执行人</t>
        </is>
      </c>
      <c r="E32" s="5" t="inlineStr">
        <is>
          <t>新增</t>
        </is>
      </c>
      <c r="F32" s="5" t="inlineStr">
        <is>
          <t>已命中</t>
        </is>
      </c>
      <c r="G32" s="6" t="inlineStr">
        <is>
          <t>docs/29；61 §2.2</t>
        </is>
      </c>
      <c r="H32" s="6" t="inlineStr">
        <is>
          <t>；2026-09-24 实测已命中（按检索服务口径复测，预期章节进入 Top 结果）</t>
        </is>
      </c>
    </row>
    <row r="33">
      <c r="A33" s="5" t="n">
        <v>31</v>
      </c>
      <c r="B33" s="6" t="inlineStr">
        <is>
          <t>派工到人</t>
        </is>
      </c>
      <c r="C33" s="6" t="inlineStr">
        <is>
          <t>我的任务在哪看？</t>
        </is>
      </c>
      <c r="D33" s="6" t="inlineStr">
        <is>
          <t>派工到人 #工人「我的任务」</t>
        </is>
      </c>
      <c r="E33" s="5" t="inlineStr">
        <is>
          <t>新增</t>
        </is>
      </c>
      <c r="F33" s="5" t="inlineStr">
        <is>
          <t>已命中</t>
        </is>
      </c>
      <c r="G33" s="6" t="inlineStr">
        <is>
          <t>docs/29；61 §2.2</t>
        </is>
      </c>
      <c r="H33" s="6" t="inlineStr">
        <is>
          <t>；2026-09-24 实测已命中（按检索服务口径复测，预期章节进入 Top 结果）</t>
        </is>
      </c>
    </row>
    <row r="34">
      <c r="A34" s="5" t="n">
        <v>32</v>
      </c>
      <c r="B34" s="6" t="inlineStr">
        <is>
          <t>异常上报</t>
        </is>
      </c>
      <c r="C34" s="6" t="inlineStr">
        <is>
          <t>工人怎么上报异常？</t>
        </is>
      </c>
      <c r="D34" s="6" t="inlineStr">
        <is>
          <t>异常上报 #H5上报</t>
        </is>
      </c>
      <c r="E34" s="5" t="inlineStr">
        <is>
          <t>新增</t>
        </is>
      </c>
      <c r="F34" s="5" t="inlineStr">
        <is>
          <t>已命中</t>
        </is>
      </c>
      <c r="G34" s="6" t="inlineStr">
        <is>
          <t>docs/28；61 §2.3</t>
        </is>
      </c>
      <c r="H34" s="6" t="inlineStr">
        <is>
          <t>；2026-09-24 实测已命中（按检索服务口径复测，预期章节进入 Top 结果）</t>
        </is>
      </c>
    </row>
    <row r="35">
      <c r="A35" s="5" t="n">
        <v>33</v>
      </c>
      <c r="B35" s="6" t="inlineStr">
        <is>
          <t>异常上报</t>
        </is>
      </c>
      <c r="C35" s="6" t="inlineStr">
        <is>
          <t>异常处理在哪弄？看板红标怎么消？</t>
        </is>
      </c>
      <c r="D35" s="6" t="inlineStr">
        <is>
          <t>异常上报 #PC处理回填</t>
        </is>
      </c>
      <c r="E35" s="5" t="inlineStr">
        <is>
          <t>新增</t>
        </is>
      </c>
      <c r="F35" s="5" t="inlineStr">
        <is>
          <t>已命中</t>
        </is>
      </c>
      <c r="G35" s="6" t="inlineStr">
        <is>
          <t>docs/28；61 §2.3</t>
        </is>
      </c>
      <c r="H35" s="6" t="inlineStr">
        <is>
          <t>；2026-09-24 实测已命中（按检索服务口径复测，预期章节进入 Top 结果）</t>
        </is>
      </c>
    </row>
    <row r="36">
      <c r="A36" s="5" t="n">
        <v>34</v>
      </c>
      <c r="B36" s="6" t="inlineStr">
        <is>
          <t>执行监控</t>
        </is>
      </c>
      <c r="C36" s="6" t="inlineStr">
        <is>
          <t>执行监控看什么？</t>
        </is>
      </c>
      <c r="D36" s="6" t="inlineStr">
        <is>
          <t>执行监控（docs/30 生成篇）</t>
        </is>
      </c>
      <c r="E36" s="5" t="inlineStr">
        <is>
          <t>新增</t>
        </is>
      </c>
      <c r="F36" s="5" t="inlineStr">
        <is>
          <t>已命中</t>
        </is>
      </c>
      <c r="G36" s="6" t="inlineStr">
        <is>
          <t>docs/19 补充执行；61 §2.4</t>
        </is>
      </c>
      <c r="H36" s="6" t="inlineStr">
        <is>
          <t>；2026-09-24 实测已命中（按检索服务口径复测，预期章节进入 Top 结果）</t>
        </is>
      </c>
    </row>
    <row r="37">
      <c r="A37" s="5" t="n">
        <v>35</v>
      </c>
      <c r="B37" s="6" t="inlineStr">
        <is>
          <t>执行监控</t>
        </is>
      </c>
      <c r="C37" s="6" t="inlineStr">
        <is>
          <t>工序进度怎么算？为什么跟报表对不上？</t>
        </is>
      </c>
      <c r="D37" s="6" t="inlineStr">
        <is>
          <t>执行监控 #进度口径</t>
        </is>
      </c>
      <c r="E37" s="5" t="inlineStr">
        <is>
          <t>新增</t>
        </is>
      </c>
      <c r="F37" s="5" t="inlineStr">
        <is>
          <t>已命中</t>
        </is>
      </c>
      <c r="G37" s="6" t="inlineStr">
        <is>
          <t>docs/19 补充执行；61 §2.4</t>
        </is>
      </c>
      <c r="H37" s="6" t="inlineStr">
        <is>
          <t>口径题重点；2026-09-24 实测已命中（按检索服务口径复测，预期章节进入 Top 结果）</t>
        </is>
      </c>
    </row>
    <row r="38">
      <c r="A38" s="5" t="n">
        <v>36</v>
      </c>
      <c r="B38" s="6" t="inlineStr">
        <is>
          <t>批量导入</t>
        </is>
      </c>
      <c r="C38" s="6" t="inlineStr">
        <is>
          <t>批量导入怎么用？</t>
        </is>
      </c>
      <c r="D38" s="6" t="inlineStr">
        <is>
          <t>批量导入 #下载母版/上传</t>
        </is>
      </c>
      <c r="E38" s="5" t="inlineStr">
        <is>
          <t>新增</t>
        </is>
      </c>
      <c r="F38" s="5" t="inlineStr">
        <is>
          <t>已命中</t>
        </is>
      </c>
      <c r="G38" s="6" t="inlineStr">
        <is>
          <t>docs/57；61 §2.5</t>
        </is>
      </c>
      <c r="H38" s="6" t="inlineStr">
        <is>
          <t>；2026-09-24 实测已命中（按检索服务口径复测，预期章节进入 Top 结果）</t>
        </is>
      </c>
    </row>
    <row r="39">
      <c r="A39" s="5" t="n">
        <v>37</v>
      </c>
      <c r="B39" s="6" t="inlineStr">
        <is>
          <t>批量导入</t>
        </is>
      </c>
      <c r="C39" s="6" t="inlineStr">
        <is>
          <t>导入提示第几行失败怎么办？</t>
        </is>
      </c>
      <c r="D39" s="6" t="inlineStr">
        <is>
          <t>批量导入 #行级错误</t>
        </is>
      </c>
      <c r="E39" s="5" t="inlineStr">
        <is>
          <t>新增</t>
        </is>
      </c>
      <c r="F39" s="5" t="inlineStr">
        <is>
          <t>已命中</t>
        </is>
      </c>
      <c r="G39" s="6" t="inlineStr">
        <is>
          <t>docs/57；61 §2.5</t>
        </is>
      </c>
      <c r="H39" s="6" t="inlineStr">
        <is>
          <t>；2026-09-24 实测已命中（按检索服务口径复测，预期章节进入 Top 结果）</t>
        </is>
      </c>
    </row>
    <row r="40">
      <c r="A40" s="5" t="n">
        <v>38</v>
      </c>
      <c r="B40" s="6" t="inlineStr">
        <is>
          <t>多账套选厂</t>
        </is>
      </c>
      <c r="C40" s="6" t="inlineStr">
        <is>
          <t>登录为什么要选厂？</t>
        </is>
      </c>
      <c r="D40" s="6" t="inlineStr">
        <is>
          <t>多账套选厂 #登录选厂</t>
        </is>
      </c>
      <c r="E40" s="5" t="inlineStr">
        <is>
          <t>新增</t>
        </is>
      </c>
      <c r="F40" s="5" t="inlineStr">
        <is>
          <t>已命中</t>
        </is>
      </c>
      <c r="G40" s="6" t="inlineStr">
        <is>
          <t>docs/52；61 §2.6</t>
        </is>
      </c>
      <c r="H40" s="6" t="inlineStr">
        <is>
          <t>；2026-09-24 实测已命中（按检索服务口径复测，预期章节进入 Top 结果）</t>
        </is>
      </c>
    </row>
    <row r="41">
      <c r="A41" s="5" t="n">
        <v>39</v>
      </c>
      <c r="B41" s="6" t="inlineStr">
        <is>
          <t>多账套选厂</t>
        </is>
      </c>
      <c r="C41" s="6" t="inlineStr">
        <is>
          <t>怎么切到另一家厂？</t>
        </is>
      </c>
      <c r="D41" s="6" t="inlineStr">
        <is>
          <t>多账套选厂 #工厂隔离/切换</t>
        </is>
      </c>
      <c r="E41" s="5" t="inlineStr">
        <is>
          <t>新增</t>
        </is>
      </c>
      <c r="F41" s="5" t="inlineStr">
        <is>
          <t>已命中</t>
        </is>
      </c>
      <c r="G41" s="6" t="inlineStr">
        <is>
          <t>docs/52；61 §2.6</t>
        </is>
      </c>
      <c r="H41" s="6" t="inlineStr">
        <is>
          <t>；2026-09-24 实测已命中（按检索服务口径复测，预期章节进入 Top 结果）</t>
        </is>
      </c>
    </row>
    <row r="42">
      <c r="A42" s="5" t="n">
        <v>40</v>
      </c>
      <c r="B42" s="6" t="inlineStr">
        <is>
          <t>微信预警</t>
        </is>
      </c>
      <c r="C42" s="6" t="inlineStr">
        <is>
          <t>微信预警怎么开？</t>
        </is>
      </c>
      <c r="D42" s="6" t="inlineStr">
        <is>
          <t>微信预警 #默认关闭需配置</t>
        </is>
      </c>
      <c r="E42" s="5" t="inlineStr">
        <is>
          <t>新增</t>
        </is>
      </c>
      <c r="F42" s="5" t="inlineStr">
        <is>
          <t>已命中</t>
        </is>
      </c>
      <c r="G42" s="6" t="inlineStr">
        <is>
          <t>docs/20；61 §2.7</t>
        </is>
      </c>
      <c r="H42" s="6" t="inlineStr">
        <is>
          <t>低优先级；2026-09-24 实测已命中（按检索服务口径复测，预期章节进入 Top 结果）</t>
        </is>
      </c>
    </row>
  </sheetData>
  <mergeCells count="1">
    <mergeCell ref="A1:H1"/>
  </mergeCells>
  <dataValidations count="1">
    <dataValidation sqref="F3:F42" showDropDown="0" showInputMessage="0" showErrorMessage="1" allowBlank="1" errorTitle="非法状态" error="只能填：待验收 / 已命中 / 未命中" type="list">
      <formula1>"待验收,已命中,未命中"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</cols>
  <sheetData>
    <row r="1">
      <c r="A1" s="7" t="inlineStr">
        <is>
          <t>验收汇总（自动统计）</t>
        </is>
      </c>
    </row>
    <row r="3">
      <c r="A3" s="8" t="inlineStr">
        <is>
          <t>总问法数</t>
        </is>
      </c>
      <c r="B3" s="9">
        <f>COUNTA(命中基准!C3:C42)</f>
        <v/>
      </c>
    </row>
    <row r="4">
      <c r="A4" s="8" t="inlineStr">
        <is>
          <t>现有六篇覆盖条数</t>
        </is>
      </c>
      <c r="B4" s="9">
        <f>COUNTIF(命中基准!E3:E42,"现有")</f>
        <v/>
      </c>
    </row>
    <row r="5">
      <c r="A5" s="8" t="inlineStr">
        <is>
          <t>新增功能补全条数</t>
        </is>
      </c>
      <c r="B5" s="9">
        <f>COUNTIF(命中基准!E3:E42,"新增")</f>
        <v/>
      </c>
    </row>
    <row r="6">
      <c r="A6" s="8" t="inlineStr">
        <is>
          <t>已命中</t>
        </is>
      </c>
      <c r="B6" s="9">
        <f>COUNTIF(命中基准!F3:F42,"已命中")</f>
        <v/>
      </c>
    </row>
    <row r="7">
      <c r="A7" s="8" t="inlineStr">
        <is>
          <t>未命中</t>
        </is>
      </c>
      <c r="B7" s="9">
        <f>COUNTIF(命中基准!F3:F42,"未命中")</f>
        <v/>
      </c>
    </row>
    <row r="8">
      <c r="A8" s="8" t="inlineStr">
        <is>
          <t>待验收</t>
        </is>
      </c>
      <c r="B8" s="9">
        <f>COUNTIF(命中基准!F3:F42,"待验收")</f>
        <v/>
      </c>
    </row>
    <row r="9">
      <c r="A9" s="8" t="inlineStr">
        <is>
          <t>通过率（已命中/总）</t>
        </is>
      </c>
      <c r="B9" s="10">
        <f>IFERROR(COUNTIF(命中基准!F3:F42,"已命中")/COUNTA(命中基准!C3:C42),0)</f>
        <v/>
      </c>
    </row>
    <row r="11">
      <c r="A11" s="11" t="inlineStr"/>
    </row>
    <row r="12">
      <c r="A12" s="11" t="inlineStr">
        <is>
          <t>使用说明：</t>
        </is>
      </c>
    </row>
    <row r="13">
      <c r="A13" s="11" t="inlineStr">
        <is>
          <t>1. 逐条用问法向检索接口 / 扣子 MCP 实测，命中预期章节则把验收状态改为『已命中』，未命中改『未命中』，未测保持『待验收』。</t>
        </is>
      </c>
    </row>
    <row r="14">
      <c r="A14" s="11" t="inlineStr">
        <is>
          <t>2. 通过率自动按验收状态统计，随勾选实时更新。</t>
        </is>
      </c>
    </row>
    <row r="15">
      <c r="A15" s="11" t="inlineStr">
        <is>
          <t>3. 『现有』= 当前 SupportDocs 01-06 应能命中的问法；『新增』= docs/61 补全后应新增命中的问法。</t>
        </is>
      </c>
    </row>
    <row r="16">
      <c r="A16" s="11" t="inlineStr">
        <is>
          <t>4. 若某问法当前知识库答不上，先在『命中基准』标『未命中』，再到 docs/61 清单补齐对应篇目。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2026-09-24T06:47:52Z</dcterms:created>
  <dcterms:modified xsi:type="dcterms:W3CDTF">2026-09-24T08:27:06Z</dcterms:modified>
</cp:coreProperties>
</file>